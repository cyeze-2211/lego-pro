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Т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0" fillId="0" borderId="1" pivotButton="0" quotePrefix="0" xfId="0"/>
    <xf numFmtId="3" fontId="1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9" customWidth="1" min="3" max="3"/>
    <col width="8" customWidth="1" min="4" max="4"/>
    <col width="16" customWidth="1" min="5" max="5"/>
    <col width="18" customWidth="1" min="6" max="6"/>
    <col width="16" customWidth="1" min="7" max="7"/>
  </cols>
  <sheetData>
    <row r="1" ht="50" customHeight="1">
      <c r="A1" s="1" t="inlineStr">
        <is>
          <t>№</t>
        </is>
      </c>
      <c r="B1" s="1" t="inlineStr">
        <is>
          <t>Наименование оборудование</t>
        </is>
      </c>
      <c r="C1" s="1" t="inlineStr">
        <is>
          <t>Ед. изм</t>
        </is>
      </c>
      <c r="D1" s="1" t="inlineStr">
        <is>
          <t>Кол-во</t>
        </is>
      </c>
      <c r="E1" s="1" t="inlineStr">
        <is>
          <t>Цена за комплект с НДС 12%</t>
        </is>
      </c>
      <c r="F1" s="1" t="inlineStr">
        <is>
          <t>Общая стоимость с НДС 12%</t>
        </is>
      </c>
      <c r="G1" s="1" t="inlineStr">
        <is>
          <t>Срок поставки</t>
        </is>
      </c>
    </row>
    <row r="2" ht="48" customHeight="1">
      <c r="A2" s="2" t="n">
        <v>1</v>
      </c>
      <c r="B2" s="3" t="inlineStr">
        <is>
          <t>Комплектная трансформаторная подстанция типа КТПК-100/10(6)/0,4 кВа</t>
        </is>
      </c>
      <c r="C2" s="2" t="inlineStr">
        <is>
          <t>комп</t>
        </is>
      </c>
      <c r="D2" s="2" t="n">
        <v>1</v>
      </c>
      <c r="E2" s="4" t="n">
        <v>44390000</v>
      </c>
      <c r="F2" s="4">
        <f>D2*E2</f>
        <v/>
      </c>
      <c r="G2" s="1" t="inlineStr">
        <is>
          <t>20 дней После предоплаты</t>
        </is>
      </c>
    </row>
    <row r="3" ht="48" customHeight="1">
      <c r="A3" s="2" t="n">
        <v>2</v>
      </c>
      <c r="B3" s="3" t="inlineStr">
        <is>
          <t>Комплектная трансформаторная подстанция типа КТПК-160/10(6)/0,4 кВа</t>
        </is>
      </c>
      <c r="C3" s="2" t="inlineStr">
        <is>
          <t>комп</t>
        </is>
      </c>
      <c r="D3" s="2" t="n">
        <v>1</v>
      </c>
      <c r="E3" s="4" t="n">
        <v>48050000</v>
      </c>
      <c r="F3" s="4">
        <f>D3*E3</f>
        <v/>
      </c>
      <c r="G3" s="1" t="inlineStr">
        <is>
          <t>20 дней После предоплаты</t>
        </is>
      </c>
    </row>
    <row r="4" ht="48" customHeight="1">
      <c r="A4" s="2" t="n">
        <v>3</v>
      </c>
      <c r="B4" s="3" t="inlineStr">
        <is>
          <t>Комплектная трансформаторная подстанция типа КТПК-160/10(6)/0,4 кВа</t>
        </is>
      </c>
      <c r="C4" s="2" t="inlineStr">
        <is>
          <t>комп</t>
        </is>
      </c>
      <c r="D4" s="2" t="n">
        <v>1</v>
      </c>
      <c r="E4" s="4" t="n">
        <v>48050000</v>
      </c>
      <c r="F4" s="4">
        <f>D4*E4</f>
        <v/>
      </c>
      <c r="G4" s="1" t="inlineStr">
        <is>
          <t>20 дней После предоплаты</t>
        </is>
      </c>
    </row>
    <row r="5" ht="48" customHeight="1">
      <c r="A5" s="2" t="n">
        <v>4</v>
      </c>
      <c r="B5" s="3" t="inlineStr">
        <is>
          <t>Комплектная трансформаторная подстанция типа КТПК-160/10(6)/0,4 кВа</t>
        </is>
      </c>
      <c r="C5" s="2" t="inlineStr">
        <is>
          <t>комп</t>
        </is>
      </c>
      <c r="D5" s="2" t="n">
        <v>1</v>
      </c>
      <c r="E5" s="4" t="n">
        <v>48050000</v>
      </c>
      <c r="F5" s="4">
        <f>D5*E5</f>
        <v/>
      </c>
      <c r="G5" s="1" t="inlineStr">
        <is>
          <t>20 дней После предоплаты</t>
        </is>
      </c>
    </row>
    <row r="6" ht="48" customHeight="1">
      <c r="A6" s="2" t="n">
        <v>5</v>
      </c>
      <c r="B6" s="3" t="inlineStr">
        <is>
          <t>Комплектная трансформаторная подстанция типа КТПК-250/10(6)/0,4 кВа</t>
        </is>
      </c>
      <c r="C6" s="2" t="inlineStr">
        <is>
          <t>комп</t>
        </is>
      </c>
      <c r="D6" s="2" t="n">
        <v>1</v>
      </c>
      <c r="E6" s="4" t="n">
        <v>69870000</v>
      </c>
      <c r="F6" s="4">
        <f>D6*E6</f>
        <v/>
      </c>
      <c r="G6" s="1" t="inlineStr">
        <is>
          <t>20 дней После предоплаты</t>
        </is>
      </c>
    </row>
    <row r="7" ht="48" customHeight="1">
      <c r="A7" s="2" t="n">
        <v>6</v>
      </c>
      <c r="B7" s="3" t="inlineStr">
        <is>
          <t>Комплектная трансформаторная подстанция типа КТПК-250/10(6)/0,4 кВа</t>
        </is>
      </c>
      <c r="C7" s="2" t="inlineStr">
        <is>
          <t>комп</t>
        </is>
      </c>
      <c r="D7" s="2" t="n">
        <v>1</v>
      </c>
      <c r="E7" s="4" t="n">
        <v>69870000</v>
      </c>
      <c r="F7" s="4">
        <f>D7*E7</f>
        <v/>
      </c>
      <c r="G7" s="1" t="inlineStr">
        <is>
          <t>20 дней После предоплаты</t>
        </is>
      </c>
    </row>
    <row r="8" ht="48" customHeight="1">
      <c r="A8" s="2" t="n">
        <v>7</v>
      </c>
      <c r="B8" s="3" t="inlineStr">
        <is>
          <t>Комплектная трансформаторная подстанция типа КТПК-400/10(6)/0,4 кВа</t>
        </is>
      </c>
      <c r="C8" s="2" t="inlineStr">
        <is>
          <t>комп</t>
        </is>
      </c>
      <c r="D8" s="2" t="n">
        <v>1</v>
      </c>
      <c r="E8" s="4" t="n">
        <v>96920000</v>
      </c>
      <c r="F8" s="4">
        <f>D8*E8</f>
        <v/>
      </c>
      <c r="G8" s="1" t="inlineStr">
        <is>
          <t>20 дней После предоплаты</t>
        </is>
      </c>
    </row>
    <row r="9" ht="48" customHeight="1">
      <c r="A9" s="2" t="n">
        <v>8</v>
      </c>
      <c r="B9" s="3" t="inlineStr">
        <is>
          <t>Комплектная трансформаторная подстанция типа ГКТП-63/10(6)/0,4 кВа</t>
        </is>
      </c>
      <c r="C9" s="2" t="inlineStr">
        <is>
          <t>комп</t>
        </is>
      </c>
      <c r="D9" s="2" t="n">
        <v>1</v>
      </c>
      <c r="E9" s="4" t="n">
        <v>44390000</v>
      </c>
      <c r="F9" s="4">
        <f>D9*E9</f>
        <v/>
      </c>
      <c r="G9" s="1" t="inlineStr">
        <is>
          <t>20 дней После предоплаты</t>
        </is>
      </c>
    </row>
    <row r="10" ht="48" customHeight="1">
      <c r="A10" s="2" t="n">
        <v>9</v>
      </c>
      <c r="B10" s="3" t="inlineStr">
        <is>
          <t>Комплектная трансформаторная подстанция типа ГКТП-40/10(6)/0,4 кВа</t>
        </is>
      </c>
      <c r="C10" s="2" t="inlineStr">
        <is>
          <t>комп</t>
        </is>
      </c>
      <c r="D10" s="2" t="n">
        <v>1</v>
      </c>
      <c r="E10" s="4" t="n">
        <v>44390000</v>
      </c>
      <c r="F10" s="4">
        <f>D10*E10</f>
        <v/>
      </c>
      <c r="G10" s="1" t="inlineStr">
        <is>
          <t>20 дней После предоплаты</t>
        </is>
      </c>
    </row>
    <row r="11" ht="48" customHeight="1">
      <c r="A11" s="2" t="n">
        <v>10</v>
      </c>
      <c r="B11" s="3" t="inlineStr">
        <is>
          <t>Комплектная трансформаторная подстанция типа 2ГКТП-250/10(6)/0,4 кВа</t>
        </is>
      </c>
      <c r="C11" s="2" t="inlineStr">
        <is>
          <t>комп</t>
        </is>
      </c>
      <c r="D11" s="2" t="n">
        <v>1</v>
      </c>
      <c r="E11" s="4" t="n">
        <v>181570000</v>
      </c>
      <c r="F11" s="4">
        <f>D11*E11</f>
        <v/>
      </c>
      <c r="G11" s="1" t="inlineStr">
        <is>
          <t>20 дней После предоплаты</t>
        </is>
      </c>
    </row>
    <row r="12">
      <c r="A12" s="5" t="inlineStr">
        <is>
          <t>Итого:</t>
        </is>
      </c>
      <c r="B12" s="6" t="n"/>
      <c r="C12" s="6" t="n"/>
      <c r="D12" s="6" t="n"/>
      <c r="E12" s="6" t="n"/>
      <c r="F12" s="7">
        <f>SUM(F2:F11)</f>
        <v/>
      </c>
      <c r="G12" s="6" t="n"/>
    </row>
    <row r="14">
      <c r="A14" s="8" t="inlineStr">
        <is>
          <t>К общей сумме прибавлено 50 000 000, распределено по позициям пропорционально (цены округлены до 10 000). Исходная сумма строк 645 550 000; в исходнике «Итого» 515 850 000 было ошибочным.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2026-10-13T08:12:20Z</dcterms:created>
  <dcterms:modified xsi:type="dcterms:W3CDTF">2026-10-13T08:12:20Z</dcterms:modified>
</cp:coreProperties>
</file>