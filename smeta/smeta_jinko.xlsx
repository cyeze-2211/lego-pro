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1" sheetId="1" state="visible" r:id="rId1"/>
    <sheet name="Lis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0000"/>
      <sz val="10"/>
    </font>
    <font>
      <name val="Arial"/>
      <sz val="10"/>
    </font>
    <font>
      <name val="Arial"/>
      <b val="1"/>
      <color rgb="00FF0000"/>
      <sz val="12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3" fillId="0" borderId="1" pivotButton="0" quotePrefix="0" xfId="0"/>
    <xf numFmtId="0" fontId="3" fillId="2" borderId="1" pivotButton="0" quotePrefix="0" xfId="0"/>
    <xf numFmtId="0" fontId="2" fillId="2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3" customWidth="1" min="5" max="5"/>
    <col width="22" customWidth="1" min="6" max="6"/>
    <col width="9" customWidth="1" min="7" max="7"/>
    <col width="9" customWidth="1" min="8" max="8"/>
    <col width="9" customWidth="1" min="9" max="9"/>
    <col width="3" customWidth="1" min="10" max="10"/>
  </cols>
  <sheetData>
    <row r="1">
      <c r="A1" s="1" t="inlineStr">
        <is>
          <t>8,8 kw 23-DMTT</t>
        </is>
      </c>
      <c r="B1" s="2" t="n"/>
      <c r="C1" s="2" t="n"/>
      <c r="D1" s="2" t="n"/>
      <c r="F1" s="1" t="inlineStr">
        <is>
          <t>10 KW 31-DMTT</t>
        </is>
      </c>
      <c r="G1" s="2" t="n"/>
      <c r="H1" s="2" t="n"/>
      <c r="I1" s="2" t="n"/>
    </row>
    <row r="2">
      <c r="A2" s="2" t="inlineStr">
        <is>
          <t>Mahsulot</t>
        </is>
      </c>
      <c r="B2" s="2" t="inlineStr">
        <is>
          <t>Dona</t>
        </is>
      </c>
      <c r="C2" s="2" t="inlineStr">
        <is>
          <t>Narx</t>
        </is>
      </c>
      <c r="D2" s="2" t="inlineStr">
        <is>
          <t>Umumiy</t>
        </is>
      </c>
      <c r="F2" s="2" t="inlineStr">
        <is>
          <t>Mahsulot</t>
        </is>
      </c>
      <c r="G2" s="2" t="inlineStr">
        <is>
          <t>Dona</t>
        </is>
      </c>
      <c r="H2" s="2" t="inlineStr">
        <is>
          <t>Narx</t>
        </is>
      </c>
      <c r="I2" s="2" t="inlineStr">
        <is>
          <t>Umumiy</t>
        </is>
      </c>
    </row>
    <row r="3">
      <c r="A3" s="2" t="inlineStr">
        <is>
          <t>Jinko 620W</t>
        </is>
      </c>
      <c r="B3" s="2" t="n">
        <v>14</v>
      </c>
      <c r="C3" s="2" t="n">
        <v>97</v>
      </c>
      <c r="D3" s="2">
        <f>B3*C3</f>
        <v/>
      </c>
      <c r="F3" s="2" t="inlineStr">
        <is>
          <t>Jinko 620W</t>
        </is>
      </c>
      <c r="G3" s="2" t="n">
        <v>16</v>
      </c>
      <c r="H3" s="2" t="n">
        <v>97</v>
      </c>
      <c r="I3" s="2">
        <f>G3*H3</f>
        <v/>
      </c>
    </row>
    <row r="4">
      <c r="A4" s="2" t="inlineStr">
        <is>
          <t>Invertor Deye 10kw</t>
        </is>
      </c>
      <c r="B4" s="2" t="n">
        <v>1</v>
      </c>
      <c r="C4" s="2" t="n">
        <v>490</v>
      </c>
      <c r="D4" s="2">
        <f>B4*C4</f>
        <v/>
      </c>
      <c r="F4" s="2" t="inlineStr">
        <is>
          <t>Invertor Deye 10kw</t>
        </is>
      </c>
      <c r="G4" s="2" t="n">
        <v>1</v>
      </c>
      <c r="H4" s="2" t="n">
        <v>490</v>
      </c>
      <c r="I4" s="2">
        <f>G4*H4</f>
        <v/>
      </c>
    </row>
    <row r="5">
      <c r="A5" s="3" t="n"/>
      <c r="B5" s="3" t="n"/>
      <c r="C5" s="3" t="n"/>
      <c r="D5" s="4">
        <f>SUM(D3:D4)</f>
        <v/>
      </c>
      <c r="F5" s="3" t="n"/>
      <c r="G5" s="3" t="n"/>
      <c r="H5" s="3" t="n"/>
      <c r="I5" s="4">
        <f>SUM(I3:I4)</f>
        <v/>
      </c>
    </row>
    <row r="8">
      <c r="A8" s="1" t="inlineStr">
        <is>
          <t>17,3 kw 23-DMTT</t>
        </is>
      </c>
      <c r="B8" s="2" t="n"/>
      <c r="C8" s="2" t="n"/>
      <c r="D8" s="2" t="n"/>
      <c r="F8" s="1" t="inlineStr">
        <is>
          <t>15,8 KW 36-DMTT</t>
        </is>
      </c>
      <c r="G8" s="2" t="n"/>
      <c r="H8" s="2" t="n"/>
      <c r="I8" s="2" t="n"/>
    </row>
    <row r="9">
      <c r="A9" s="2" t="inlineStr">
        <is>
          <t>Mahsulot</t>
        </is>
      </c>
      <c r="B9" s="2" t="inlineStr">
        <is>
          <t>Dona</t>
        </is>
      </c>
      <c r="C9" s="2" t="inlineStr">
        <is>
          <t>Narx</t>
        </is>
      </c>
      <c r="D9" s="2" t="inlineStr">
        <is>
          <t>Umumiy</t>
        </is>
      </c>
      <c r="F9" s="2" t="inlineStr">
        <is>
          <t>Mahsulot</t>
        </is>
      </c>
      <c r="G9" s="2" t="inlineStr">
        <is>
          <t>Dona</t>
        </is>
      </c>
      <c r="H9" s="2" t="inlineStr">
        <is>
          <t>Narx</t>
        </is>
      </c>
      <c r="I9" s="2" t="inlineStr">
        <is>
          <t>Umumiy</t>
        </is>
      </c>
    </row>
    <row r="10">
      <c r="A10" s="2" t="inlineStr">
        <is>
          <t>Jinko 620W</t>
        </is>
      </c>
      <c r="B10" s="2" t="n">
        <v>28</v>
      </c>
      <c r="C10" s="2" t="n">
        <v>97</v>
      </c>
      <c r="D10" s="2">
        <f>B10*C10</f>
        <v/>
      </c>
      <c r="F10" s="2" t="inlineStr">
        <is>
          <t>Jinko 620W</t>
        </is>
      </c>
      <c r="G10" s="2" t="n">
        <v>26</v>
      </c>
      <c r="H10" s="2" t="n">
        <v>97</v>
      </c>
      <c r="I10" s="2">
        <f>G10*H10</f>
        <v/>
      </c>
    </row>
    <row r="11">
      <c r="A11" s="2" t="inlineStr">
        <is>
          <t>Invertor Deye 20kw</t>
        </is>
      </c>
      <c r="B11" s="2" t="n">
        <v>1</v>
      </c>
      <c r="C11" s="2" t="n">
        <v>690</v>
      </c>
      <c r="D11" s="2">
        <f>B11*C11</f>
        <v/>
      </c>
      <c r="F11" s="2" t="inlineStr">
        <is>
          <t>Invertor Deye 20kw</t>
        </is>
      </c>
      <c r="G11" s="2" t="n">
        <v>1</v>
      </c>
      <c r="H11" s="2" t="n">
        <v>690</v>
      </c>
      <c r="I11" s="2">
        <f>G11*H11</f>
        <v/>
      </c>
    </row>
    <row r="12">
      <c r="A12" s="3" t="n"/>
      <c r="B12" s="3" t="n"/>
      <c r="C12" s="3" t="n"/>
      <c r="D12" s="4">
        <f>SUM(D10:D11)</f>
        <v/>
      </c>
      <c r="F12" s="3" t="n"/>
      <c r="G12" s="3" t="n"/>
      <c r="H12" s="3" t="n"/>
      <c r="I12" s="4">
        <f>SUM(I10:I11)</f>
        <v/>
      </c>
    </row>
    <row r="15">
      <c r="A15" s="1" t="inlineStr">
        <is>
          <t>8,8kw 16-DMTT</t>
        </is>
      </c>
      <c r="B15" s="2" t="n"/>
      <c r="C15" s="2" t="n"/>
      <c r="D15" s="2" t="n"/>
      <c r="F15" s="1" t="inlineStr">
        <is>
          <t>50kw Sud Navoiy</t>
        </is>
      </c>
      <c r="G15" s="2" t="n"/>
      <c r="H15" s="2" t="n"/>
      <c r="I15" s="2" t="n"/>
    </row>
    <row r="16">
      <c r="A16" s="2" t="inlineStr">
        <is>
          <t>Mahsulot</t>
        </is>
      </c>
      <c r="B16" s="2" t="inlineStr">
        <is>
          <t>Dona</t>
        </is>
      </c>
      <c r="C16" s="2" t="inlineStr">
        <is>
          <t>Narx</t>
        </is>
      </c>
      <c r="D16" s="2" t="inlineStr">
        <is>
          <t>Umumiy</t>
        </is>
      </c>
      <c r="F16" s="2" t="inlineStr">
        <is>
          <t>Mahsulot</t>
        </is>
      </c>
      <c r="G16" s="2" t="inlineStr">
        <is>
          <t>Dona</t>
        </is>
      </c>
      <c r="H16" s="2" t="inlineStr">
        <is>
          <t>Narx</t>
        </is>
      </c>
      <c r="I16" s="2" t="inlineStr">
        <is>
          <t>Umumiy</t>
        </is>
      </c>
    </row>
    <row r="17">
      <c r="A17" s="2" t="inlineStr">
        <is>
          <t>Jinko 620W</t>
        </is>
      </c>
      <c r="B17" s="2" t="n">
        <v>14</v>
      </c>
      <c r="C17" s="2" t="n">
        <v>97</v>
      </c>
      <c r="D17" s="2">
        <f>B17*C17</f>
        <v/>
      </c>
      <c r="F17" s="2" t="inlineStr">
        <is>
          <t>Jinko 620W</t>
        </is>
      </c>
      <c r="G17" s="2" t="n">
        <v>80</v>
      </c>
      <c r="H17" s="2" t="n">
        <v>97</v>
      </c>
      <c r="I17" s="2">
        <f>G17*H17</f>
        <v/>
      </c>
    </row>
    <row r="18">
      <c r="A18" s="2" t="inlineStr">
        <is>
          <t>Invertor Deye 10kw</t>
        </is>
      </c>
      <c r="B18" s="2" t="n">
        <v>1</v>
      </c>
      <c r="C18" s="2" t="n">
        <v>490</v>
      </c>
      <c r="D18" s="2">
        <f>B18*C18</f>
        <v/>
      </c>
      <c r="F18" s="2" t="inlineStr">
        <is>
          <t>Invertor Deye 50kw</t>
        </is>
      </c>
      <c r="G18" s="2" t="n">
        <v>1</v>
      </c>
      <c r="H18" s="2" t="n">
        <v>1480</v>
      </c>
      <c r="I18" s="2">
        <f>G18*H18</f>
        <v/>
      </c>
    </row>
    <row r="19">
      <c r="A19" s="3" t="n"/>
      <c r="B19" s="3" t="n"/>
      <c r="C19" s="3" t="n"/>
      <c r="D19" s="4">
        <f>SUM(D17:D18)</f>
        <v/>
      </c>
      <c r="F19" s="3" t="n"/>
      <c r="G19" s="3" t="n"/>
      <c r="H19" s="3" t="n"/>
      <c r="I19" s="4">
        <f>SUM(I17:I18)</f>
        <v/>
      </c>
    </row>
    <row r="22">
      <c r="A22" s="1" t="inlineStr">
        <is>
          <t>17,3kw 16-DMTT</t>
        </is>
      </c>
      <c r="B22" s="2" t="n"/>
      <c r="C22" s="2" t="n"/>
      <c r="D22" s="2" t="n"/>
      <c r="F22" s="1" t="inlineStr">
        <is>
          <t>50kw Sud Navoiy</t>
        </is>
      </c>
      <c r="G22" s="2" t="n"/>
      <c r="H22" s="2" t="n"/>
      <c r="I22" s="2" t="n"/>
    </row>
    <row r="23">
      <c r="A23" s="2" t="inlineStr">
        <is>
          <t>Mahsulot</t>
        </is>
      </c>
      <c r="B23" s="2" t="inlineStr">
        <is>
          <t>Dona</t>
        </is>
      </c>
      <c r="C23" s="2" t="inlineStr">
        <is>
          <t>Narx</t>
        </is>
      </c>
      <c r="D23" s="2" t="inlineStr">
        <is>
          <t>Umumiy</t>
        </is>
      </c>
      <c r="F23" s="2" t="inlineStr">
        <is>
          <t>Mahsulot</t>
        </is>
      </c>
      <c r="G23" s="2" t="inlineStr">
        <is>
          <t>Dona</t>
        </is>
      </c>
      <c r="H23" s="2" t="inlineStr">
        <is>
          <t>Narx</t>
        </is>
      </c>
      <c r="I23" s="2" t="inlineStr">
        <is>
          <t>Umumiy</t>
        </is>
      </c>
    </row>
    <row r="24">
      <c r="A24" s="2" t="inlineStr">
        <is>
          <t>Jinko 620W</t>
        </is>
      </c>
      <c r="B24" s="2" t="n">
        <v>28</v>
      </c>
      <c r="C24" s="2" t="n">
        <v>97</v>
      </c>
      <c r="D24" s="2">
        <f>B24*C24</f>
        <v/>
      </c>
      <c r="F24" s="2" t="inlineStr">
        <is>
          <t>Jinko 620W</t>
        </is>
      </c>
      <c r="G24" s="2" t="n">
        <v>80</v>
      </c>
      <c r="H24" s="2" t="n">
        <v>97</v>
      </c>
      <c r="I24" s="2">
        <f>G24*H24</f>
        <v/>
      </c>
    </row>
    <row r="25">
      <c r="A25" s="2" t="inlineStr">
        <is>
          <t>Invertor Deye 20kw</t>
        </is>
      </c>
      <c r="B25" s="2" t="n">
        <v>1</v>
      </c>
      <c r="C25" s="2" t="n">
        <v>690</v>
      </c>
      <c r="D25" s="2">
        <f>B25*C25</f>
        <v/>
      </c>
      <c r="F25" s="2" t="inlineStr">
        <is>
          <t>Invertor Deye 50kw</t>
        </is>
      </c>
      <c r="G25" s="2" t="n">
        <v>1</v>
      </c>
      <c r="H25" s="2" t="n">
        <v>1480</v>
      </c>
      <c r="I25" s="2">
        <f>G25*H25</f>
        <v/>
      </c>
    </row>
    <row r="26">
      <c r="A26" s="3" t="n"/>
      <c r="B26" s="3" t="n"/>
      <c r="C26" s="3" t="n"/>
      <c r="D26" s="4">
        <f>SUM(D24:D25)</f>
        <v/>
      </c>
      <c r="F26" s="3" t="n"/>
      <c r="G26" s="3" t="n"/>
      <c r="H26" s="3" t="n"/>
      <c r="I26" s="4">
        <f>SUM(I24:I25)</f>
        <v/>
      </c>
    </row>
    <row r="29">
      <c r="A29" s="5" t="inlineStr">
        <is>
          <t>Summa:</t>
        </is>
      </c>
      <c r="B29" s="6">
        <f>D5+I5+D12+I12+D19+I19+D26+I26</f>
        <v/>
      </c>
    </row>
    <row r="30">
      <c r="A30" s="5" t="inlineStr">
        <is>
          <t>Jami panel:</t>
        </is>
      </c>
      <c r="B30" s="5">
        <f>B3+G3+B10+G10+B17+G17+B24+G24</f>
        <v/>
      </c>
    </row>
  </sheetData>
  <mergeCells count="8">
    <mergeCell ref="A1:D1"/>
    <mergeCell ref="A8:D8"/>
    <mergeCell ref="F1:I1"/>
    <mergeCell ref="A22:D22"/>
    <mergeCell ref="F8:I8"/>
    <mergeCell ref="A15:D15"/>
    <mergeCell ref="F15:I15"/>
    <mergeCell ref="F22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3" customWidth="1" min="5" max="5"/>
    <col width="22" customWidth="1" min="6" max="6"/>
    <col width="9" customWidth="1" min="7" max="7"/>
    <col width="9" customWidth="1" min="8" max="8"/>
    <col width="9" customWidth="1" min="9" max="9"/>
    <col width="3" customWidth="1" min="10" max="10"/>
    <col width="22" customWidth="1" min="11" max="11"/>
    <col width="9" customWidth="1" min="12" max="12"/>
    <col width="9" customWidth="1" min="13" max="13"/>
    <col width="9" customWidth="1" min="14" max="14"/>
    <col width="3" customWidth="1" min="15" max="15"/>
  </cols>
  <sheetData>
    <row r="1">
      <c r="A1" s="1" t="inlineStr">
        <is>
          <t>17 kw 38-maktab</t>
        </is>
      </c>
      <c r="B1" s="2" t="n"/>
      <c r="C1" s="2" t="n"/>
      <c r="D1" s="2" t="n"/>
      <c r="F1" s="1" t="inlineStr">
        <is>
          <t>17,6 kw 39-maktab</t>
        </is>
      </c>
      <c r="G1" s="2" t="n"/>
      <c r="H1" s="2" t="n"/>
      <c r="I1" s="2" t="n"/>
      <c r="K1" s="1" t="inlineStr">
        <is>
          <t>8,8kw 10-DMTT</t>
        </is>
      </c>
      <c r="L1" s="2" t="n"/>
      <c r="M1" s="2" t="n"/>
      <c r="N1" s="2" t="n"/>
    </row>
    <row r="2">
      <c r="A2" s="2" t="inlineStr">
        <is>
          <t>Mahsulot</t>
        </is>
      </c>
      <c r="B2" s="2" t="inlineStr">
        <is>
          <t>Dona</t>
        </is>
      </c>
      <c r="C2" s="2" t="inlineStr">
        <is>
          <t>Narx</t>
        </is>
      </c>
      <c r="D2" s="2" t="inlineStr">
        <is>
          <t>Umumiy</t>
        </is>
      </c>
      <c r="F2" s="2" t="inlineStr">
        <is>
          <t>Mahsulot</t>
        </is>
      </c>
      <c r="G2" s="2" t="inlineStr">
        <is>
          <t>Dona</t>
        </is>
      </c>
      <c r="H2" s="2" t="inlineStr">
        <is>
          <t>Narx</t>
        </is>
      </c>
      <c r="I2" s="2" t="inlineStr">
        <is>
          <t>Umumiy</t>
        </is>
      </c>
      <c r="K2" s="2" t="inlineStr">
        <is>
          <t>Mahsulot</t>
        </is>
      </c>
      <c r="L2" s="2" t="inlineStr">
        <is>
          <t>Dona</t>
        </is>
      </c>
      <c r="M2" s="2" t="inlineStr">
        <is>
          <t>Narx</t>
        </is>
      </c>
      <c r="N2" s="2" t="inlineStr">
        <is>
          <t>Umumiy</t>
        </is>
      </c>
    </row>
    <row r="3">
      <c r="A3" s="2" t="inlineStr">
        <is>
          <t>Jinko 620W</t>
        </is>
      </c>
      <c r="B3" s="2" t="n">
        <v>28</v>
      </c>
      <c r="C3" s="2" t="n">
        <v>97</v>
      </c>
      <c r="D3" s="2">
        <f>B3*C3</f>
        <v/>
      </c>
      <c r="F3" s="2" t="inlineStr">
        <is>
          <t>Jinko 620W</t>
        </is>
      </c>
      <c r="G3" s="2" t="n">
        <v>28</v>
      </c>
      <c r="H3" s="2" t="n">
        <v>97</v>
      </c>
      <c r="I3" s="2">
        <f>G3*H3</f>
        <v/>
      </c>
      <c r="K3" s="2" t="inlineStr">
        <is>
          <t>Jinko 620W</t>
        </is>
      </c>
      <c r="L3" s="2" t="n">
        <v>14</v>
      </c>
      <c r="M3" s="2" t="n">
        <v>97</v>
      </c>
      <c r="N3" s="2">
        <f>L3*M3</f>
        <v/>
      </c>
    </row>
    <row r="4">
      <c r="A4" s="2" t="inlineStr">
        <is>
          <t>Invertor Deye 20kw</t>
        </is>
      </c>
      <c r="B4" s="2" t="n">
        <v>1</v>
      </c>
      <c r="C4" s="2" t="n">
        <v>680</v>
      </c>
      <c r="D4" s="2">
        <f>B4*C4</f>
        <v/>
      </c>
      <c r="F4" s="2" t="inlineStr">
        <is>
          <t>Invertor 20kw 3f</t>
        </is>
      </c>
      <c r="G4" s="2" t="n">
        <v>1</v>
      </c>
      <c r="H4" s="2" t="n">
        <v>690</v>
      </c>
      <c r="I4" s="2">
        <f>G4*H4</f>
        <v/>
      </c>
      <c r="K4" s="2" t="inlineStr">
        <is>
          <t>Invertor 10kw 3f</t>
        </is>
      </c>
      <c r="L4" s="2" t="n">
        <v>1</v>
      </c>
      <c r="M4" s="2" t="n">
        <v>490</v>
      </c>
      <c r="N4" s="2">
        <f>L4*M4</f>
        <v/>
      </c>
    </row>
    <row r="5">
      <c r="A5" s="3" t="n"/>
      <c r="B5" s="3" t="n"/>
      <c r="C5" s="3" t="n"/>
      <c r="D5" s="4">
        <f>SUM(D3:D4)</f>
        <v/>
      </c>
      <c r="F5" s="3" t="n"/>
      <c r="G5" s="3" t="n"/>
      <c r="H5" s="3" t="n"/>
      <c r="I5" s="4">
        <f>SUM(I3:I4)</f>
        <v/>
      </c>
      <c r="K5" s="3" t="n"/>
      <c r="L5" s="3" t="n"/>
      <c r="M5" s="3" t="n"/>
      <c r="N5" s="4">
        <f>SUM(N3:N4)</f>
        <v/>
      </c>
    </row>
    <row r="8">
      <c r="A8" s="1" t="inlineStr">
        <is>
          <t>68 kw 50-maktab</t>
        </is>
      </c>
      <c r="B8" s="2" t="n"/>
      <c r="C8" s="2" t="n"/>
      <c r="D8" s="2" t="n"/>
      <c r="F8" s="1" t="inlineStr">
        <is>
          <t>70,5kw 39-maktab</t>
        </is>
      </c>
      <c r="G8" s="2" t="n"/>
      <c r="H8" s="2" t="n"/>
      <c r="I8" s="2" t="n"/>
      <c r="K8" s="1" t="inlineStr">
        <is>
          <t>17,3kw 10-DMTT</t>
        </is>
      </c>
      <c r="L8" s="2" t="n"/>
      <c r="M8" s="2" t="n"/>
      <c r="N8" s="2" t="n"/>
    </row>
    <row r="9">
      <c r="A9" s="2" t="inlineStr">
        <is>
          <t>Mahsulot</t>
        </is>
      </c>
      <c r="B9" s="2" t="inlineStr">
        <is>
          <t>Dona</t>
        </is>
      </c>
      <c r="C9" s="2" t="inlineStr">
        <is>
          <t>Narx</t>
        </is>
      </c>
      <c r="D9" s="2" t="inlineStr">
        <is>
          <t>Umumiy</t>
        </is>
      </c>
      <c r="F9" s="2" t="inlineStr">
        <is>
          <t>Mahsulot</t>
        </is>
      </c>
      <c r="G9" s="2" t="inlineStr">
        <is>
          <t>Dona</t>
        </is>
      </c>
      <c r="H9" s="2" t="inlineStr">
        <is>
          <t>Narx</t>
        </is>
      </c>
      <c r="I9" s="2" t="inlineStr">
        <is>
          <t>Umumiy</t>
        </is>
      </c>
      <c r="K9" s="2" t="inlineStr">
        <is>
          <t>Mahsulot</t>
        </is>
      </c>
      <c r="L9" s="2" t="inlineStr">
        <is>
          <t>Dona</t>
        </is>
      </c>
      <c r="M9" s="2" t="inlineStr">
        <is>
          <t>Narx</t>
        </is>
      </c>
      <c r="N9" s="2" t="inlineStr">
        <is>
          <t>Umumiy</t>
        </is>
      </c>
    </row>
    <row r="10">
      <c r="A10" s="2" t="inlineStr">
        <is>
          <t>Jinko 620W</t>
        </is>
      </c>
      <c r="B10" s="2" t="n">
        <v>110</v>
      </c>
      <c r="C10" s="2" t="n">
        <v>97</v>
      </c>
      <c r="D10" s="2">
        <f>B10*C10</f>
        <v/>
      </c>
      <c r="F10" s="2" t="inlineStr">
        <is>
          <t>Jinko 620W</t>
        </is>
      </c>
      <c r="G10" s="2" t="n">
        <v>114</v>
      </c>
      <c r="H10" s="2" t="n">
        <v>97</v>
      </c>
      <c r="I10" s="2">
        <f>G10*H10</f>
        <v/>
      </c>
      <c r="K10" s="2" t="inlineStr">
        <is>
          <t>Jinko 620W</t>
        </is>
      </c>
      <c r="L10" s="2" t="n">
        <v>28</v>
      </c>
      <c r="M10" s="2" t="n">
        <v>97</v>
      </c>
      <c r="N10" s="2">
        <f>L10*M10</f>
        <v/>
      </c>
    </row>
    <row r="11">
      <c r="A11" s="2" t="inlineStr">
        <is>
          <t>Invertor 80 kw</t>
        </is>
      </c>
      <c r="B11" s="2" t="n">
        <v>1</v>
      </c>
      <c r="C11" s="2" t="n">
        <v>1990</v>
      </c>
      <c r="D11" s="2">
        <f>B11*C11</f>
        <v/>
      </c>
      <c r="F11" s="2" t="inlineStr">
        <is>
          <t>Invertor 80kw 3f</t>
        </is>
      </c>
      <c r="G11" s="2" t="n">
        <v>1</v>
      </c>
      <c r="H11" s="2" t="n">
        <v>1990</v>
      </c>
      <c r="I11" s="2">
        <f>G11*H11</f>
        <v/>
      </c>
      <c r="K11" s="2" t="inlineStr">
        <is>
          <t>Invertor 20kw 3f</t>
        </is>
      </c>
      <c r="L11" s="2" t="n">
        <v>1</v>
      </c>
      <c r="M11" s="2" t="n">
        <v>690</v>
      </c>
      <c r="N11" s="2">
        <f>L11*M11</f>
        <v/>
      </c>
    </row>
    <row r="12">
      <c r="A12" s="3" t="n"/>
      <c r="B12" s="3" t="n"/>
      <c r="C12" s="3" t="n"/>
      <c r="D12" s="4">
        <f>SUM(D10:D11)</f>
        <v/>
      </c>
      <c r="F12" s="3" t="n"/>
      <c r="G12" s="3" t="n"/>
      <c r="H12" s="3" t="n"/>
      <c r="I12" s="4">
        <f>SUM(I10:I11)</f>
        <v/>
      </c>
      <c r="K12" s="3" t="n"/>
      <c r="L12" s="3" t="n"/>
      <c r="M12" s="3" t="n"/>
      <c r="N12" s="4">
        <f>SUM(N10:N11)</f>
        <v/>
      </c>
    </row>
    <row r="15">
      <c r="A15" s="1" t="inlineStr">
        <is>
          <t>33kw 27-maktab</t>
        </is>
      </c>
      <c r="B15" s="2" t="n"/>
      <c r="C15" s="2" t="n"/>
      <c r="D15" s="2" t="n"/>
      <c r="F15" s="1" t="inlineStr">
        <is>
          <t>8,8kw 30-DMTT</t>
        </is>
      </c>
      <c r="G15" s="2" t="n"/>
      <c r="H15" s="2" t="n"/>
      <c r="I15" s="2" t="n"/>
      <c r="K15" s="1" t="inlineStr">
        <is>
          <t>5,5kw 27-maktab</t>
        </is>
      </c>
      <c r="L15" s="2" t="n"/>
      <c r="M15" s="2" t="n"/>
      <c r="N15" s="2" t="n"/>
    </row>
    <row r="16">
      <c r="A16" s="2" t="inlineStr">
        <is>
          <t>Mahsulot</t>
        </is>
      </c>
      <c r="B16" s="2" t="inlineStr">
        <is>
          <t>Dona</t>
        </is>
      </c>
      <c r="C16" s="2" t="inlineStr">
        <is>
          <t>Narx</t>
        </is>
      </c>
      <c r="D16" s="2" t="inlineStr">
        <is>
          <t>Umumiy</t>
        </is>
      </c>
      <c r="F16" s="2" t="inlineStr">
        <is>
          <t>Mahsulot</t>
        </is>
      </c>
      <c r="G16" s="2" t="inlineStr">
        <is>
          <t>Dona</t>
        </is>
      </c>
      <c r="H16" s="2" t="inlineStr">
        <is>
          <t>Narx</t>
        </is>
      </c>
      <c r="I16" s="2" t="inlineStr">
        <is>
          <t>Umumiy</t>
        </is>
      </c>
      <c r="K16" s="2" t="inlineStr">
        <is>
          <t>Mahsulot</t>
        </is>
      </c>
      <c r="L16" s="2" t="inlineStr">
        <is>
          <t>Dona</t>
        </is>
      </c>
      <c r="M16" s="2" t="inlineStr">
        <is>
          <t>Narx</t>
        </is>
      </c>
      <c r="N16" s="2" t="inlineStr">
        <is>
          <t>Umumiy</t>
        </is>
      </c>
    </row>
    <row r="17">
      <c r="A17" s="2" t="inlineStr">
        <is>
          <t>Jinko 620W</t>
        </is>
      </c>
      <c r="B17" s="2" t="n">
        <v>54</v>
      </c>
      <c r="C17" s="2" t="n">
        <v>97</v>
      </c>
      <c r="D17" s="2">
        <f>B17*C17</f>
        <v/>
      </c>
      <c r="F17" s="2" t="inlineStr">
        <is>
          <t>Jinko 620W</t>
        </is>
      </c>
      <c r="G17" s="2" t="n">
        <v>14</v>
      </c>
      <c r="H17" s="2" t="n">
        <v>97</v>
      </c>
      <c r="I17" s="2">
        <f>G17*H17</f>
        <v/>
      </c>
      <c r="K17" s="2" t="inlineStr">
        <is>
          <t>Jinko 620W</t>
        </is>
      </c>
      <c r="L17" s="2" t="n">
        <v>9</v>
      </c>
      <c r="M17" s="2" t="n">
        <v>97</v>
      </c>
      <c r="N17" s="2">
        <f>L17*M17</f>
        <v/>
      </c>
    </row>
    <row r="18">
      <c r="A18" s="2" t="inlineStr">
        <is>
          <t>Invertor 40kw</t>
        </is>
      </c>
      <c r="B18" s="2" t="n">
        <v>1</v>
      </c>
      <c r="C18" s="2" t="n">
        <v>1390</v>
      </c>
      <c r="D18" s="2">
        <f>B18*C18</f>
        <v/>
      </c>
      <c r="F18" s="2" t="inlineStr">
        <is>
          <t>Invertor 10kw 3f</t>
        </is>
      </c>
      <c r="G18" s="2" t="n">
        <v>1</v>
      </c>
      <c r="H18" s="2" t="n">
        <v>490</v>
      </c>
      <c r="I18" s="2">
        <f>G18*H18</f>
        <v/>
      </c>
      <c r="K18" s="2" t="inlineStr">
        <is>
          <t>Invertor 10 kw 3f</t>
        </is>
      </c>
      <c r="L18" s="2" t="n">
        <v>1</v>
      </c>
      <c r="M18" s="2" t="n">
        <v>490</v>
      </c>
      <c r="N18" s="2">
        <f>L18*M18</f>
        <v/>
      </c>
    </row>
    <row r="19">
      <c r="A19" s="3" t="n"/>
      <c r="B19" s="3" t="n"/>
      <c r="C19" s="3" t="n"/>
      <c r="D19" s="4">
        <f>SUM(D17:D18)</f>
        <v/>
      </c>
      <c r="F19" s="3" t="n"/>
      <c r="G19" s="3" t="n"/>
      <c r="H19" s="3" t="n"/>
      <c r="I19" s="4">
        <f>SUM(I17:I18)</f>
        <v/>
      </c>
      <c r="K19" s="3" t="n"/>
      <c r="L19" s="3" t="n"/>
      <c r="M19" s="3" t="n"/>
      <c r="N19" s="4">
        <f>SUM(N17:N18)</f>
        <v/>
      </c>
    </row>
    <row r="22">
      <c r="A22" s="1" t="inlineStr">
        <is>
          <t>33,12KWkw 30-DMTT</t>
        </is>
      </c>
      <c r="B22" s="2" t="n"/>
      <c r="C22" s="2" t="n"/>
      <c r="D22" s="2" t="n"/>
    </row>
    <row r="23">
      <c r="A23" s="2" t="inlineStr">
        <is>
          <t>Mahsulot</t>
        </is>
      </c>
      <c r="B23" s="2" t="inlineStr">
        <is>
          <t>Dona</t>
        </is>
      </c>
      <c r="C23" s="2" t="inlineStr">
        <is>
          <t>Narx</t>
        </is>
      </c>
      <c r="D23" s="2" t="inlineStr">
        <is>
          <t>Umumiy</t>
        </is>
      </c>
    </row>
    <row r="24">
      <c r="A24" s="2" t="inlineStr">
        <is>
          <t>Jinko 620W</t>
        </is>
      </c>
      <c r="B24" s="2" t="n">
        <v>54</v>
      </c>
      <c r="C24" s="2" t="n">
        <v>97</v>
      </c>
      <c r="D24" s="2">
        <f>B24*C24</f>
        <v/>
      </c>
    </row>
    <row r="25">
      <c r="A25" s="2" t="inlineStr">
        <is>
          <t>Invertor 40kw 3f</t>
        </is>
      </c>
      <c r="B25" s="2" t="n">
        <v>1</v>
      </c>
      <c r="C25" s="2" t="n">
        <v>1390</v>
      </c>
      <c r="D25" s="2">
        <f>B25*C25</f>
        <v/>
      </c>
    </row>
    <row r="26">
      <c r="A26" s="7" t="inlineStr">
        <is>
          <t>Jami (2 list):</t>
        </is>
      </c>
      <c r="B26" s="8">
        <f>'List1'!B29+'List2'!B29</f>
        <v/>
      </c>
      <c r="C26" s="3" t="n"/>
      <c r="D26" s="4">
        <f>SUM(D24:D25)</f>
        <v/>
      </c>
    </row>
    <row r="27">
      <c r="A27" s="5" t="inlineStr">
        <is>
          <t>Jami panel (2 list):</t>
        </is>
      </c>
      <c r="B27" s="5">
        <f>'List1'!B30+'List2'!B30</f>
        <v/>
      </c>
    </row>
    <row r="29">
      <c r="A29" s="9" t="inlineStr">
        <is>
          <t>Panel: Jinko 620W = 97$; invertor narxi +30$ (buyurtmachi ko'rsatmasi)</t>
        </is>
      </c>
      <c r="B29" s="6">
        <f>D5+I5+N5+D12+I12+N12+D19+I19+N19+D26</f>
        <v/>
      </c>
    </row>
    <row r="30">
      <c r="A30" s="5" t="inlineStr">
        <is>
          <t>Jami panel:</t>
        </is>
      </c>
      <c r="B30" s="5">
        <f>B3+G3+L3+B10+G10+L10+B17+G17+L17+B24</f>
        <v/>
      </c>
    </row>
  </sheetData>
  <mergeCells count="10">
    <mergeCell ref="A1:D1"/>
    <mergeCell ref="A8:D8"/>
    <mergeCell ref="F1:I1"/>
    <mergeCell ref="A22:D22"/>
    <mergeCell ref="F8:I8"/>
    <mergeCell ref="K15:N15"/>
    <mergeCell ref="A15:D15"/>
    <mergeCell ref="F15:I15"/>
    <mergeCell ref="K8:N8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2026-10-13T07:24:55Z</dcterms:created>
  <dcterms:modified xsi:type="dcterms:W3CDTF">2026-10-13T07:24:55Z</dcterms:modified>
</cp:coreProperties>
</file>